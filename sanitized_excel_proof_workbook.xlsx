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1d298a3ab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68f1b074194850"/>
    <x:sheet xmlns:r="http://schemas.openxmlformats.org/officeDocument/2006/relationships" name="Count_Alerts" sheetId="2" r:id="R2311771faa3a48ab"/>
    <x:sheet xmlns:r="http://schemas.openxmlformats.org/officeDocument/2006/relationships" name="Replenishment_Model" sheetId="3" r:id="R5570cf5b88534fe9"/>
    <x:sheet xmlns:r="http://schemas.openxmlformats.org/officeDocument/2006/relationships" name="Forecast_Model" sheetId="4" r:id="R24ce1c40148c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7E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8211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2da5c3b7b42af" /><Relationship Type="http://schemas.openxmlformats.org/officeDocument/2006/relationships/theme" Target="/xl/theme/theme1.xml" Id="R8a421e6dca3145c5" /><Relationship Type="http://schemas.openxmlformats.org/officeDocument/2006/relationships/sharedStrings" Target="/xl/sharedStrings.xml" Id="Rde128d83d1834dbf" /><Relationship Type="http://schemas.openxmlformats.org/officeDocument/2006/relationships/worksheet" Target="/xl/worksheets/sheet1.xml" Id="R8968f1b074194850" /><Relationship Type="http://schemas.openxmlformats.org/officeDocument/2006/relationships/worksheet" Target="/xl/worksheets/sheet2.xml" Id="R2311771faa3a48ab" /><Relationship Type="http://schemas.openxmlformats.org/officeDocument/2006/relationships/worksheet" Target="/xl/worksheets/sheet3.xml" Id="R5570cf5b88534fe9" /><Relationship Type="http://schemas.openxmlformats.org/officeDocument/2006/relationships/worksheet" Target="/xl/worksheets/sheet4.xml" Id="R24ce1c40148c4485" /></Relationships>
</file>

<file path=xl/tables/table1.xml><?xml version="1.0" encoding="utf-8"?>
<x:table xmlns:x="http://schemas.openxmlformats.org/spreadsheetml/2006/main" id="1" name="AlertsTable" displayName="AlertsTable" ref="A1:F21" headerRowCount="1">
  <x:tableColumns count="6">
    <x:tableColumn id="1" name="Task Reference"/>
    <x:tableColumn id="2" name="Alert Row"/>
    <x:tableColumn id="3" name="Division"/>
    <x:tableColumn id="4" name="SKU"/>
    <x:tableColumn id="5" name="Line Count"/>
    <x:tableColumn id="6" name="Reason"/>
  </x:tableColumns>
  <x:tableStyleInfo name="TableStyleMedium2" showRowStripes="1"/>
</x:table>
</file>

<file path=xl/tables/table2.xml><?xml version="1.0" encoding="utf-8"?>
<x:table xmlns:x="http://schemas.openxmlformats.org/spreadsheetml/2006/main" id="2" name="AlertSummaryTable" displayName="AlertSummaryTable" ref="H1:K13" headerRowCount="1">
  <x:tableColumns count="4">
    <x:tableColumn id="1" name="Task Reference"/>
    <x:tableColumn id="2" name="Alert Rows"/>
    <x:tableColumn id="3" name="Largest Line Count"/>
    <x:tableColumn id="4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ReplenishmentTable" displayName="ReplenishmentTable" ref="A1:K16" headerRowCount="1">
  <x:tableColumns count="11">
    <x:tableColumn id="1" name="SKU"/>
    <x:tableColumn id="2" name="Division"/>
    <x:tableColumn id="3" name="On Hand"/>
    <x:tableColumn id="4" name="Avg Daily Demand"/>
    <x:tableColumn id="5" name="Demand Std Dev"/>
    <x:tableColumn id="6" name="Lead Time"/>
    <x:tableColumn id="7" name="Service Z"/>
    <x:tableColumn id="8" name="Safety Stock"/>
    <x:tableColumn id="9" name="Reorder Point"/>
    <x:tableColumn id="10" name="Suggested Order"/>
    <x:tableColumn id="11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ForecastTable" displayName="ForecastTable" ref="A1:H13" headerRowCount="1">
  <x:tableColumns count="8">
    <x:tableColumn id="1" name="Month"/>
    <x:tableColumn id="2" name="Actual Units"/>
    <x:tableColumn id="3" name="Prior Forecast"/>
    <x:tableColumn id="4" name="3 Mo Avg"/>
    <x:tableColumn id="5" name="Error"/>
    <x:tableColumn id="6" name="Abs Error"/>
    <x:tableColumn id="7" name="Abs % Error"/>
    <x:tableColumn id="8" name="B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2836f423e74cdf" /><Relationship Type="http://schemas.openxmlformats.org/officeDocument/2006/relationships/table" Target="/xl/tables/table2.xml" Id="Rbf4e19a39b38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3b4b87ed91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ae4fb574844216" /></Relationships>
</file>

<file path=xl/worksheets/sheet1.xml><?xml version="1.0" encoding="utf-8"?>
<x:worksheet xmlns:x="http://schemas.openxmlformats.org/spreadsheetml/2006/main">
  <x:sheetFormatPr defaultRowHeight="15"/>
  <x:cols>
    <x:col min="1" max="1" width="51.54999923706055" hidden="0" customWidth="1"/>
    <x:col min="2" max="2" width="10.359999656677246" hidden="0" customWidth="1"/>
    <x:col min="4" max="4" width="19.110000610351562" hidden="0" customWidth="1"/>
    <x:col min="5" max="5" width="21.1299991607666" hidden="0" customWidth="1"/>
    <x:col min="6" max="6" width="31.219999313354492" hidden="0" customWidth="1"/>
    <x:col min="7" max="7" width="27.049999237060547" hidden="0" customWidth="1"/>
    <x:col min="8" max="8" width="12.25" hidden="0" customWidth="1"/>
  </x:cols>
  <x:sheetData>
    <x:row r="1">
      <x:c r="A1" s="6" t="str">
        <x:v>Ruben Mendoza - Excel Proof Workbook (Sanitized Demo Data)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>
      <x:c r="A3" t="str">
        <x:v>Metric</x:v>
      </x:c>
      <x:c r="B3" t="str">
        <x:v>Value</x:v>
      </x:c>
      <x:c r="D3" t="str">
        <x:v>Dashboard purpose</x:v>
      </x:c>
      <x:c r="E3" t="str">
        <x:v>Tool proof</x:v>
      </x:c>
      <x:c r="F3" t="str">
        <x:v>Excel skills shown</x:v>
      </x:c>
      <x:c r="G3" t="str">
        <x:v>Business question</x:v>
      </x:c>
      <x:c r="H3" t="str">
        <x:v>Data type</x:v>
      </x:c>
    </x:row>
    <x:row r="4">
      <x:c r="A4" t="str">
        <x:v>Unique alert tasks</x:v>
      </x:c>
      <x:c r="B4" t="n">
        <x:f>COUNTA(UNIQUE(Count_Alerts!A2:A21))</x:f>
        <x:v>12</x:v>
      </x:c>
      <x:c r="D4" t="str">
        <x:v>Cycle count alert review</x:v>
      </x:c>
      <x:c r="E4" t="str">
        <x:v>Count_Alerts tab</x:v>
      </x:c>
      <x:c r="F4" t="str">
        <x:v>UNIQUE, COUNTIF, MAXIFS</x:v>
      </x:c>
      <x:c r="G4" t="str">
        <x:v>How many real tasks are blocked?</x:v>
      </x:c>
      <x:c r="H4" t="str">
        <x:v>Sanitized demo</x:v>
      </x:c>
    </x:row>
    <x:row r="5">
      <x:c r="A5" t="str">
        <x:v>Total alert rows</x:v>
      </x:c>
      <x:c r="B5" t="n">
        <x:f>COUNTA(Count_Alerts!A2:A21)</x:f>
        <x:v>20</x:v>
      </x:c>
      <x:c r="D5" t="str">
        <x:v>Replenishment model</x:v>
      </x:c>
      <x:c r="E5" t="str">
        <x:v>Replenishment_Model tab</x:v>
      </x:c>
      <x:c r="F5" t="str">
        <x:v>Safety stock, reorder point, status rules</x:v>
      </x:c>
      <x:c r="G5" t="str">
        <x:v>What should we order now?</x:v>
      </x:c>
      <x:c r="H5" t="str">
        <x:v>Sanitized demo</x:v>
      </x:c>
    </x:row>
    <x:row r="6">
      <x:c r="A6" t="str">
        <x:v>Total lines impacted</x:v>
      </x:c>
      <x:c r="B6" t="n">
        <x:f>SUM(Count_Alerts!E2:E21)</x:f>
        <x:v>108</x:v>
      </x:c>
      <x:c r="D6" t="str">
        <x:v>Forecast model</x:v>
      </x:c>
      <x:c r="E6" t="str">
        <x:v>Forecast_Model tab</x:v>
      </x:c>
      <x:c r="F6" t="str">
        <x:v>Moving average, error metrics</x:v>
      </x:c>
      <x:c r="G6" t="str">
        <x:v>How close is the model?</x:v>
      </x:c>
      <x:c r="H6" t="str">
        <x:v>Sanitized demo</x:v>
      </x:c>
    </x:row>
    <x:row r="7">
      <x:c r="A7" t="str">
        <x:v>SKUs below reorder</x:v>
      </x:c>
      <x:c r="B7" s="8" t="n">
        <x:f>COUNTIF(Replenishment_Model!K2:K16,"Order")</x:f>
        <x:v>7</x:v>
      </x:c>
      <x:c r="D7" t="str">
        <x:v>Analyst output</x:v>
      </x:c>
      <x:c r="E7" t="str">
        <x:v>Dashboard tab</x:v>
      </x:c>
      <x:c r="F7" t="str">
        <x:v>KPI rollup and audit trail</x:v>
      </x:c>
      <x:c r="G7" t="str">
        <x:v>What needs action first?</x:v>
      </x:c>
      <x:c r="H7" t="str">
        <x:v>Sanitized demo</x:v>
      </x:c>
    </x:row>
    <x:row r="8">
      <x:c r="A8" t="str">
        <x:v>Forecast MAPE</x:v>
      </x:c>
      <x:c r="B8" t="n">
        <x:f>AVERAGE(Forecast_Model!G2:G13)</x:f>
        <x:v>0.023032432555767136</x:v>
      </x:c>
      <x:c r="D8" t="str">
        <x:v>Recruiter proof</x:v>
      </x:c>
      <x:c r="E8" t="str">
        <x:v>All tabs</x:v>
      </x:c>
      <x:c r="F8" t="str">
        <x:v>Formulas, tables, controls</x:v>
      </x:c>
      <x:c r="G8" t="str">
        <x:v>Can I show Excel beyond a bullet?</x:v>
      </x:c>
      <x:c r="H8" t="str">
        <x:v>Sanitized demo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8.079999923706055" hidden="0" customWidth="1"/>
    <x:col min="3" max="3" width="6.460000038146973" hidden="0" customWidth="1"/>
    <x:col min="4" max="4" width="7.670000076293945" hidden="0" customWidth="1"/>
    <x:col min="5" max="5" width="8.609999656677246" hidden="0" customWidth="1"/>
    <x:col min="6" max="6" width="18.030000686645508" hidden="0" customWidth="1"/>
    <x:col min="8" max="8" width="12.109999656677246" hidden="0" customWidth="1"/>
    <x:col min="9" max="9" width="8.75" hidden="0" customWidth="1"/>
    <x:col min="10" max="10" width="14.9399995803833" hidden="0" customWidth="1"/>
    <x:col min="11" max="11" width="17.770000457763672" hidden="0" customWidth="1"/>
  </x:cols>
  <x:sheetData>
    <x:row r="1">
      <x:c r="A1" s="6" t="str">
        <x:v>Task Reference</x:v>
      </x:c>
      <x:c r="B1" s="6" t="str">
        <x:v>Alert Row</x:v>
      </x:c>
      <x:c r="C1" s="6" t="str">
        <x:v>Division</x:v>
      </x:c>
      <x:c r="D1" s="6" t="str">
        <x:v>SKU</x:v>
      </x:c>
      <x:c r="E1" s="6" t="str">
        <x:v>Line Count</x:v>
      </x:c>
      <x:c r="F1" s="6" t="str">
        <x:v>Reason</x:v>
      </x:c>
      <x:c r="G1" s="6"/>
      <x:c r="H1" s="6" t="str">
        <x:v>Task Reference</x:v>
      </x:c>
      <x:c r="I1" s="6" t="str">
        <x:v>Alert Rows</x:v>
      </x:c>
      <x:c r="J1" s="6" t="str">
        <x:v>Largest Line Count</x:v>
      </x:c>
      <x:c r="K1" s="6" t="str">
        <x:v>Action</x:v>
      </x:c>
    </x:row>
    <x:row r="2">
      <x:c r="A2" t="str">
        <x:v>TASK-1001</x:v>
      </x:c>
      <x:c r="B2" t="n">
        <x:v>1</x:v>
      </x:c>
      <x:c r="C2" t="str">
        <x:v>Atlas</x:v>
      </x:c>
      <x:c r="D2" t="str">
        <x:v>AX-10482</x:v>
      </x:c>
      <x:c r="E2" t="n">
        <x:v>5</x:v>
      </x:c>
      <x:c r="F2" t="str">
        <x:v>Allocated during count</x:v>
      </x:c>
      <x:c r="H2" t="str">
        <x:v>TASK-1001</x:v>
      </x:c>
      <x:c r="I2" t="n">
        <x:f>COUNTIF(A:A,H2)</x:f>
        <x:v>2</x:v>
      </x:c>
      <x:c r="J2" t="n">
        <x:f>MAXIFS(E:E,A:A,H2)</x:f>
        <x:v>5</x:v>
      </x:c>
      <x:c r="K2" t="str">
        <x:f>IF(I2&gt;1,"Group duplicate alerts","Single alert")</x:f>
        <x:v>Group duplicate alerts</x:v>
      </x:c>
    </x:row>
    <x:row r="3">
      <x:c r="A3" t="str">
        <x:v>TASK-1001</x:v>
      </x:c>
      <x:c r="B3" t="n">
        <x:v>2</x:v>
      </x:c>
      <x:c r="C3" t="str">
        <x:v>Atlas</x:v>
      </x:c>
      <x:c r="D3" t="str">
        <x:v>AX-10482</x:v>
      </x:c>
      <x:c r="E3" t="n">
        <x:v>5</x:v>
      </x:c>
      <x:c r="F3" t="str">
        <x:v>Allocated during count</x:v>
      </x:c>
      <x:c r="H3" t="str">
        <x:v>TASK-1002</x:v>
      </x:c>
      <x:c r="I3" t="n">
        <x:f>COUNTIF(A:A,H3)</x:f>
        <x:v>3</x:v>
      </x:c>
      <x:c r="J3" t="n">
        <x:f>MAXIFS(E:E,A:A,H3)</x:f>
        <x:v>4</x:v>
      </x:c>
      <x:c r="K3" t="str">
        <x:f>IF(I3&gt;1,"Group duplicate alerts","Single alert")</x:f>
        <x:v>Group duplicate alerts</x:v>
      </x:c>
    </x:row>
    <x:row r="4">
      <x:c r="A4" t="str">
        <x:v>TASK-1002</x:v>
      </x:c>
      <x:c r="B4" t="n">
        <x:v>1</x:v>
      </x:c>
      <x:c r="C4" t="str">
        <x:v>Beacon</x:v>
      </x:c>
      <x:c r="D4" t="str">
        <x:v>BX-11490</x:v>
      </x:c>
      <x:c r="E4" t="n">
        <x:v>3</x:v>
      </x:c>
      <x:c r="F4" t="str">
        <x:v>Allocated during count</x:v>
      </x:c>
      <x:c r="H4" t="str">
        <x:v>TASK-1003</x:v>
      </x:c>
      <x:c r="I4" t="n">
        <x:f>COUNTIF(A:A,H4)</x:f>
        <x:v>1</x:v>
      </x:c>
      <x:c r="J4" t="n">
        <x:f>MAXIFS(E:E,A:A,H4)</x:f>
        <x:v>2</x:v>
      </x:c>
      <x:c r="K4" t="str">
        <x:f>IF(I4&gt;1,"Group duplicate alerts","Single alert")</x:f>
        <x:v>Single alert</x:v>
      </x:c>
    </x:row>
    <x:row r="5">
      <x:c r="A5" t="str">
        <x:v>TASK-1002</x:v>
      </x:c>
      <x:c r="B5" t="n">
        <x:v>2</x:v>
      </x:c>
      <x:c r="C5" t="str">
        <x:v>Beacon</x:v>
      </x:c>
      <x:c r="D5" t="str">
        <x:v>BX-11490</x:v>
      </x:c>
      <x:c r="E5" t="n">
        <x:v>4</x:v>
      </x:c>
      <x:c r="F5" t="str">
        <x:v>Allocated during count</x:v>
      </x:c>
      <x:c r="H5" t="str">
        <x:v>TASK-1004</x:v>
      </x:c>
      <x:c r="I5" t="n">
        <x:f>COUNTIF(A:A,H5)</x:f>
        <x:v>2</x:v>
      </x:c>
      <x:c r="J5" t="n">
        <x:f>MAXIFS(E:E,A:A,H5)</x:f>
        <x:v>8</x:v>
      </x:c>
      <x:c r="K5" t="str">
        <x:f>IF(I5&gt;1,"Group duplicate alerts","Single alert")</x:f>
        <x:v>Group duplicate alerts</x:v>
      </x:c>
    </x:row>
    <x:row r="6">
      <x:c r="A6" t="str">
        <x:v>TASK-1002</x:v>
      </x:c>
      <x:c r="B6" t="n">
        <x:v>3</x:v>
      </x:c>
      <x:c r="C6" t="str">
        <x:v>Beacon</x:v>
      </x:c>
      <x:c r="D6" t="str">
        <x:v>BX-11490</x:v>
      </x:c>
      <x:c r="E6" t="n">
        <x:v>4</x:v>
      </x:c>
      <x:c r="F6" t="str">
        <x:v>Allocated during count</x:v>
      </x:c>
      <x:c r="H6" t="str">
        <x:v>TASK-1005</x:v>
      </x:c>
      <x:c r="I6" t="n">
        <x:f>COUNTIF(A:A,H6)</x:f>
        <x:v>1</x:v>
      </x:c>
      <x:c r="J6" t="n">
        <x:f>MAXIFS(E:E,A:A,H6)</x:f>
        <x:v>1</x:v>
      </x:c>
      <x:c r="K6" t="str">
        <x:f>IF(I6&gt;1,"Group duplicate alerts","Single alert")</x:f>
        <x:v>Single alert</x:v>
      </x:c>
    </x:row>
    <x:row r="7">
      <x:c r="A7" t="str">
        <x:v>TASK-1003</x:v>
      </x:c>
      <x:c r="B7" t="n">
        <x:v>1</x:v>
      </x:c>
      <x:c r="C7" t="str">
        <x:v>Summit</x:v>
      </x:c>
      <x:c r="D7" t="str">
        <x:v>SX-45072</x:v>
      </x:c>
      <x:c r="E7" t="n">
        <x:v>2</x:v>
      </x:c>
      <x:c r="F7" t="str">
        <x:v>Pick demand open</x:v>
      </x:c>
      <x:c r="H7" t="str">
        <x:v>TASK-1006</x:v>
      </x:c>
      <x:c r="I7" t="n">
        <x:f>COUNTIF(A:A,H7)</x:f>
        <x:v>2</x:v>
      </x:c>
      <x:c r="J7" t="n">
        <x:f>MAXIFS(E:E,A:A,H7)</x:f>
        <x:v>6</x:v>
      </x:c>
      <x:c r="K7" t="str">
        <x:f>IF(I7&gt;1,"Group duplicate alerts","Single alert")</x:f>
        <x:v>Group duplicate alerts</x:v>
      </x:c>
    </x:row>
    <x:row r="8">
      <x:c r="A8" t="str">
        <x:v>TASK-1004</x:v>
      </x:c>
      <x:c r="B8" t="n">
        <x:v>1</x:v>
      </x:c>
      <x:c r="C8" t="str">
        <x:v>Harbor</x:v>
      </x:c>
      <x:c r="D8" t="str">
        <x:v>HX-69012</x:v>
      </x:c>
      <x:c r="E8" t="n">
        <x:v>8</x:v>
      </x:c>
      <x:c r="F8" t="str">
        <x:v>Allocated during count</x:v>
      </x:c>
      <x:c r="H8" t="str">
        <x:v>TASK-1007</x:v>
      </x:c>
      <x:c r="I8" t="n">
        <x:f>COUNTIF(A:A,H8)</x:f>
        <x:v>1</x:v>
      </x:c>
      <x:c r="J8" t="n">
        <x:f>MAXIFS(E:E,A:A,H8)</x:f>
        <x:v>4</x:v>
      </x:c>
      <x:c r="K8" t="str">
        <x:f>IF(I8&gt;1,"Group duplicate alerts","Single alert")</x:f>
        <x:v>Single alert</x:v>
      </x:c>
    </x:row>
    <x:row r="9">
      <x:c r="A9" t="str">
        <x:v>TASK-1004</x:v>
      </x:c>
      <x:c r="B9" t="n">
        <x:v>2</x:v>
      </x:c>
      <x:c r="C9" t="str">
        <x:v>Harbor</x:v>
      </x:c>
      <x:c r="D9" t="str">
        <x:v>HX-69012</x:v>
      </x:c>
      <x:c r="E9" t="n">
        <x:v>8</x:v>
      </x:c>
      <x:c r="F9" t="str">
        <x:v>Allocated during count</x:v>
      </x:c>
      <x:c r="H9" t="str">
        <x:v>TASK-1008</x:v>
      </x:c>
      <x:c r="I9" t="n">
        <x:f>COUNTIF(A:A,H9)</x:f>
        <x:v>2</x:v>
      </x:c>
      <x:c r="J9" t="n">
        <x:f>MAXIFS(E:E,A:A,H9)</x:f>
        <x:v>7</x:v>
      </x:c>
      <x:c r="K9" t="str">
        <x:f>IF(I9&gt;1,"Group duplicate alerts","Single alert")</x:f>
        <x:v>Group duplicate alerts</x:v>
      </x:c>
    </x:row>
    <x:row r="10">
      <x:c r="A10" t="str">
        <x:v>TASK-1005</x:v>
      </x:c>
      <x:c r="B10" t="n">
        <x:v>1</x:v>
      </x:c>
      <x:c r="C10" t="str">
        <x:v>Atlas</x:v>
      </x:c>
      <x:c r="D10" t="str">
        <x:v>AX-77501</x:v>
      </x:c>
      <x:c r="E10" t="n">
        <x:v>1</x:v>
      </x:c>
      <x:c r="F10" t="str">
        <x:v>Stockout review</x:v>
      </x:c>
      <x:c r="H10" t="str">
        <x:v>TASK-1009</x:v>
      </x:c>
      <x:c r="I10" t="n">
        <x:f>COUNTIF(A:A,H10)</x:f>
        <x:v>1</x:v>
      </x:c>
      <x:c r="J10" t="n">
        <x:f>MAXIFS(E:E,A:A,H10)</x:f>
        <x:v>3</x:v>
      </x:c>
      <x:c r="K10" t="str">
        <x:f>IF(I10&gt;1,"Group duplicate alerts","Single alert")</x:f>
        <x:v>Single alert</x:v>
      </x:c>
    </x:row>
    <x:row r="11">
      <x:c r="A11" t="str">
        <x:v>TASK-1006</x:v>
      </x:c>
      <x:c r="B11" t="n">
        <x:v>1</x:v>
      </x:c>
      <x:c r="C11" t="str">
        <x:v>Beacon</x:v>
      </x:c>
      <x:c r="D11" t="str">
        <x:v>BX-33102</x:v>
      </x:c>
      <x:c r="E11" t="n">
        <x:v>6</x:v>
      </x:c>
      <x:c r="F11" t="str">
        <x:v>Allocated during count</x:v>
      </x:c>
      <x:c r="H11" t="str">
        <x:v>TASK-1010</x:v>
      </x:c>
      <x:c r="I11" t="n">
        <x:f>COUNTIF(A:A,H11)</x:f>
        <x:v>3</x:v>
      </x:c>
      <x:c r="J11" t="n">
        <x:f>MAXIFS(E:E,A:A,H11)</x:f>
        <x:v>10</x:v>
      </x:c>
      <x:c r="K11" t="str">
        <x:f>IF(I11&gt;1,"Group duplicate alerts","Single alert")</x:f>
        <x:v>Group duplicate alerts</x:v>
      </x:c>
    </x:row>
    <x:row r="12">
      <x:c r="A12" t="str">
        <x:v>TASK-1006</x:v>
      </x:c>
      <x:c r="B12" t="n">
        <x:v>2</x:v>
      </x:c>
      <x:c r="C12" t="str">
        <x:v>Beacon</x:v>
      </x:c>
      <x:c r="D12" t="str">
        <x:v>BX-33102</x:v>
      </x:c>
      <x:c r="E12" t="n">
        <x:v>6</x:v>
      </x:c>
      <x:c r="F12" t="str">
        <x:v>Allocated during count</x:v>
      </x:c>
      <x:c r="H12" t="str">
        <x:v>TASK-1011</x:v>
      </x:c>
      <x:c r="I12" t="n">
        <x:f>COUNTIF(A:A,H12)</x:f>
        <x:v>1</x:v>
      </x:c>
      <x:c r="J12" t="n">
        <x:f>MAXIFS(E:E,A:A,H12)</x:f>
        <x:v>2</x:v>
      </x:c>
      <x:c r="K12" t="str">
        <x:f>IF(I12&gt;1,"Group duplicate alerts","Single alert")</x:f>
        <x:v>Single alert</x:v>
      </x:c>
    </x:row>
    <x:row r="13">
      <x:c r="A13" t="str">
        <x:v>TASK-1007</x:v>
      </x:c>
      <x:c r="B13" t="n">
        <x:v>1</x:v>
      </x:c>
      <x:c r="C13" t="str">
        <x:v>Summit</x:v>
      </x:c>
      <x:c r="D13" t="str">
        <x:v>SX-10228</x:v>
      </x:c>
      <x:c r="E13" t="n">
        <x:v>4</x:v>
      </x:c>
      <x:c r="F13" t="str">
        <x:v>Open replenishment</x:v>
      </x:c>
      <x:c r="H13" t="str">
        <x:v>TASK-1012</x:v>
      </x:c>
      <x:c r="I13" t="n">
        <x:f>COUNTIF(A:A,H13)</x:f>
        <x:v>1</x:v>
      </x:c>
      <x:c r="J13" t="n">
        <x:f>MAXIFS(E:E,A:A,H13)</x:f>
        <x:v>5</x:v>
      </x:c>
      <x:c r="K13" t="str">
        <x:f>IF(I13&gt;1,"Group duplicate alerts","Single alert")</x:f>
        <x:v>Single alert</x:v>
      </x:c>
    </x:row>
    <x:row r="14">
      <x:c r="A14" t="str">
        <x:v>TASK-1008</x:v>
      </x:c>
      <x:c r="B14" t="n">
        <x:v>1</x:v>
      </x:c>
      <x:c r="C14" t="str">
        <x:v>Harbor</x:v>
      </x:c>
      <x:c r="D14" t="str">
        <x:v>HX-22210</x:v>
      </x:c>
      <x:c r="E14" t="n">
        <x:v>7</x:v>
      </x:c>
      <x:c r="F14" t="str">
        <x:v>Allocated during count</x:v>
      </x:c>
    </x:row>
    <x:row r="15">
      <x:c r="A15" t="str">
        <x:v>TASK-1008</x:v>
      </x:c>
      <x:c r="B15" t="n">
        <x:v>2</x:v>
      </x:c>
      <x:c r="C15" t="str">
        <x:v>Harbor</x:v>
      </x:c>
      <x:c r="D15" t="str">
        <x:v>HX-22210</x:v>
      </x:c>
      <x:c r="E15" t="n">
        <x:v>7</x:v>
      </x:c>
      <x:c r="F15" t="str">
        <x:v>Allocated during count</x:v>
      </x:c>
    </x:row>
    <x:row r="16">
      <x:c r="A16" t="str">
        <x:v>TASK-1009</x:v>
      </x:c>
      <x:c r="B16" t="n">
        <x:v>1</x:v>
      </x:c>
      <x:c r="C16" t="str">
        <x:v>Atlas</x:v>
      </x:c>
      <x:c r="D16" t="str">
        <x:v>AX-88220</x:v>
      </x:c>
      <x:c r="E16" t="n">
        <x:v>3</x:v>
      </x:c>
      <x:c r="F16" t="str">
        <x:v>Pick demand open</x:v>
      </x:c>
    </x:row>
    <x:row r="17">
      <x:c r="A17" t="str">
        <x:v>TASK-1010</x:v>
      </x:c>
      <x:c r="B17" t="n">
        <x:v>1</x:v>
      </x:c>
      <x:c r="C17" t="str">
        <x:v>Beacon</x:v>
      </x:c>
      <x:c r="D17" t="str">
        <x:v>BX-99120</x:v>
      </x:c>
      <x:c r="E17" t="n">
        <x:v>9</x:v>
      </x:c>
      <x:c r="F17" t="str">
        <x:v>Allocated during count</x:v>
      </x:c>
    </x:row>
    <x:row r="18">
      <x:c r="A18" t="str">
        <x:v>TASK-1010</x:v>
      </x:c>
      <x:c r="B18" t="n">
        <x:v>2</x:v>
      </x:c>
      <x:c r="C18" t="str">
        <x:v>Beacon</x:v>
      </x:c>
      <x:c r="D18" t="str">
        <x:v>BX-99120</x:v>
      </x:c>
      <x:c r="E18" t="n">
        <x:v>9</x:v>
      </x:c>
      <x:c r="F18" t="str">
        <x:v>Allocated during count</x:v>
      </x:c>
    </x:row>
    <x:row r="19">
      <x:c r="A19" t="str">
        <x:v>TASK-1010</x:v>
      </x:c>
      <x:c r="B19" t="n">
        <x:v>3</x:v>
      </x:c>
      <x:c r="C19" t="str">
        <x:v>Beacon</x:v>
      </x:c>
      <x:c r="D19" t="str">
        <x:v>BX-99120</x:v>
      </x:c>
      <x:c r="E19" t="n">
        <x:v>10</x:v>
      </x:c>
      <x:c r="F19" t="str">
        <x:v>Allocated during count</x:v>
      </x:c>
    </x:row>
    <x:row r="20">
      <x:c r="A20" t="str">
        <x:v>TASK-1011</x:v>
      </x:c>
      <x:c r="B20" t="n">
        <x:v>1</x:v>
      </x:c>
      <x:c r="C20" t="str">
        <x:v>Summit</x:v>
      </x:c>
      <x:c r="D20" t="str">
        <x:v>SX-11880</x:v>
      </x:c>
      <x:c r="E20" t="n">
        <x:v>2</x:v>
      </x:c>
      <x:c r="F20" t="str">
        <x:v>Open replenishment</x:v>
      </x:c>
    </x:row>
    <x:row r="21">
      <x:c r="A21" t="str">
        <x:v>TASK-1012</x:v>
      </x:c>
      <x:c r="B21" t="n">
        <x:v>1</x:v>
      </x:c>
      <x:c r="C21" t="str">
        <x:v>Harbor</x:v>
      </x:c>
      <x:c r="D21" t="str">
        <x:v>HX-00820</x:v>
      </x:c>
      <x:c r="E21" t="n">
        <x:v>5</x:v>
      </x:c>
      <x:c r="F21" t="str">
        <x:v>Allocated during count</x:v>
      </x:c>
    </x:row>
  </x:sheetData>
  <x:pageMargins left="0.7" right="0.7" top="0.75" bottom="0.75" header="0.3" footer="0.3"/>
  <x:tableParts count="2">
    <x:tablePart xmlns:r="http://schemas.openxmlformats.org/officeDocument/2006/relationships" r:id="Re82836f423e74cdf"/>
    <x:tablePart xmlns:r="http://schemas.openxmlformats.org/officeDocument/2006/relationships" r:id="Rbf4e19a39b384e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6.460000038146973" hidden="0" customWidth="1"/>
    <x:col min="3" max="3" width="7.130000114440918" hidden="0" customWidth="1"/>
    <x:col min="4" max="4" width="14.800000190734863" hidden="0" customWidth="1"/>
    <x:col min="5" max="5" width="13.59000015258789" hidden="0" customWidth="1"/>
    <x:col min="6" max="6" width="8.34000015258789" hidden="0" customWidth="1"/>
    <x:col min="7" max="7" width="7.269999980926514" hidden="0" customWidth="1"/>
    <x:col min="8" max="8" width="9.829999923706055" hidden="0" customWidth="1"/>
    <x:col min="9" max="9" width="11.170000076293945" hidden="0" customWidth="1"/>
    <x:col min="10" max="10" width="13.460000038146973" hidden="0" customWidth="1"/>
    <x:col min="11" max="11" width="6.860000133514404" hidden="0" customWidth="1"/>
  </x:cols>
  <x:sheetData>
    <x:row r="1">
      <x:c r="A1" s="6" t="str">
        <x:v>SKU</x:v>
      </x:c>
      <x:c r="B1" s="6" t="str">
        <x:v>Division</x:v>
      </x:c>
      <x:c r="C1" s="6" t="str">
        <x:v>On Hand</x:v>
      </x:c>
      <x:c r="D1" s="6" t="str">
        <x:v>Avg Daily Demand</x:v>
      </x:c>
      <x:c r="E1" s="6" t="str">
        <x:v>Demand Std Dev</x:v>
      </x:c>
      <x:c r="F1" s="6" t="str">
        <x:v>Lead Time</x:v>
      </x:c>
      <x:c r="G1" s="6" t="str">
        <x:v>Service Z</x:v>
      </x:c>
      <x:c r="H1" s="6" t="str">
        <x:v>Safety Stock</x:v>
      </x:c>
      <x:c r="I1" s="6" t="str">
        <x:v>Reorder Point</x:v>
      </x:c>
      <x:c r="J1" s="6" t="str">
        <x:v>Suggested Order</x:v>
      </x:c>
      <x:c r="K1" s="6" t="str">
        <x:v>Decision</x:v>
      </x:c>
    </x:row>
    <x:row r="2">
      <x:c r="A2" t="str">
        <x:v>AX-10482</x:v>
      </x:c>
      <x:c r="B2" t="str">
        <x:v>Atlas</x:v>
      </x:c>
      <x:c r="C2" t="n">
        <x:v>38</x:v>
      </x:c>
      <x:c r="D2" t="n">
        <x:v>4.8</x:v>
      </x:c>
      <x:c r="E2" t="n">
        <x:v>2.1</x:v>
      </x:c>
      <x:c r="F2" t="n">
        <x:v>9</x:v>
      </x:c>
      <x:c r="G2" t="n">
        <x:v>1.65</x:v>
      </x:c>
      <x:c r="H2" t="n">
        <x:f>ROUNDUP(G2*E2*SQRT(F2),0)</x:f>
        <x:v>11</x:v>
      </x:c>
      <x:c r="I2" t="n">
        <x:f>ROUNDUP((D2*F2)+H2,0)</x:f>
        <x:v>55</x:v>
      </x:c>
      <x:c r="J2" t="n">
        <x:f>MAX(0,ROUNDUP((D2*(F2+21))+H2-C2,0))</x:f>
        <x:v>117</x:v>
      </x:c>
      <x:c r="K2" t="str">
        <x:f>IF(C2&lt;=I2,"Order",IF(C2/D2&gt;60,"Excess","OK"))</x:f>
        <x:v>Order</x:v>
      </x:c>
    </x:row>
    <x:row r="3">
      <x:c r="A3" t="str">
        <x:v>AX-22110</x:v>
      </x:c>
      <x:c r="B3" t="str">
        <x:v>Atlas</x:v>
      </x:c>
      <x:c r="C3" t="n">
        <x:v>9</x:v>
      </x:c>
      <x:c r="D3" t="n">
        <x:v>3.4</x:v>
      </x:c>
      <x:c r="E3" t="n">
        <x:v>1.7</x:v>
      </x:c>
      <x:c r="F3" t="n">
        <x:v>9</x:v>
      </x:c>
      <x:c r="G3" t="n">
        <x:v>1.65</x:v>
      </x:c>
      <x:c r="H3" t="n">
        <x:f>ROUNDUP(G3*E3*SQRT(F3),0)</x:f>
        <x:v>9</x:v>
      </x:c>
      <x:c r="I3" t="n">
        <x:f>ROUNDUP((D3*F3)+H3,0)</x:f>
        <x:v>40</x:v>
      </x:c>
      <x:c r="J3" t="n">
        <x:f>MAX(0,ROUNDUP((D3*(F3+21))+H3-C3,0))</x:f>
        <x:v>102</x:v>
      </x:c>
      <x:c r="K3" t="str">
        <x:f>IF(C3&lt;=I3,"Order",IF(C3/D3&gt;60,"Excess","OK"))</x:f>
        <x:v>Order</x:v>
      </x:c>
    </x:row>
    <x:row r="4">
      <x:c r="A4" t="str">
        <x:v>BX-88401</x:v>
      </x:c>
      <x:c r="B4" t="str">
        <x:v>Beacon</x:v>
      </x:c>
      <x:c r="C4" t="n">
        <x:v>144</x:v>
      </x:c>
      <x:c r="D4" t="n">
        <x:v>2.1</x:v>
      </x:c>
      <x:c r="E4" t="n">
        <x:v>0.9</x:v>
      </x:c>
      <x:c r="F4" t="n">
        <x:v>12</x:v>
      </x:c>
      <x:c r="G4" t="n">
        <x:v>1.65</x:v>
      </x:c>
      <x:c r="H4" t="n">
        <x:f>ROUNDUP(G4*E4*SQRT(F4),0)</x:f>
        <x:v>6</x:v>
      </x:c>
      <x:c r="I4" t="n">
        <x:f>ROUNDUP((D4*F4)+H4,0)</x:f>
        <x:v>32</x:v>
      </x:c>
      <x:c r="J4" t="n">
        <x:f>MAX(0,ROUNDUP((D4*(F4+21))+H4-C4,0))</x:f>
        <x:v>0</x:v>
      </x:c>
      <x:c r="K4" t="str">
        <x:f>IF(C4&lt;=I4,"Order",IF(C4/D4&gt;60,"Excess","OK"))</x:f>
        <x:v>Excess</x:v>
      </x:c>
    </x:row>
    <x:row r="5">
      <x:c r="A5" t="str">
        <x:v>BX-11490</x:v>
      </x:c>
      <x:c r="B5" t="str">
        <x:v>Beacon</x:v>
      </x:c>
      <x:c r="C5" t="n">
        <x:v>12</x:v>
      </x:c>
      <x:c r="D5" t="n">
        <x:v>5.9</x:v>
      </x:c>
      <x:c r="E5" t="n">
        <x:v>2.4</x:v>
      </x:c>
      <x:c r="F5" t="n">
        <x:v>12</x:v>
      </x:c>
      <x:c r="G5" t="n">
        <x:v>1.65</x:v>
      </x:c>
      <x:c r="H5" t="n">
        <x:f>ROUNDUP(G5*E5*SQRT(F5),0)</x:f>
        <x:v>14</x:v>
      </x:c>
      <x:c r="I5" t="n">
        <x:f>ROUNDUP((D5*F5)+H5,0)</x:f>
        <x:v>85</x:v>
      </x:c>
      <x:c r="J5" t="n">
        <x:f>MAX(0,ROUNDUP((D5*(F5+21))+H5-C5,0))</x:f>
        <x:v>197</x:v>
      </x:c>
      <x:c r="K5" t="str">
        <x:f>IF(C5&lt;=I5,"Order",IF(C5/D5&gt;60,"Excess","OK"))</x:f>
        <x:v>Order</x:v>
      </x:c>
    </x:row>
    <x:row r="6">
      <x:c r="A6" t="str">
        <x:v>SX-45072</x:v>
      </x:c>
      <x:c r="B6" t="str">
        <x:v>Summit</x:v>
      </x:c>
      <x:c r="C6" t="n">
        <x:v>61</x:v>
      </x:c>
      <x:c r="D6" t="n">
        <x:v>4.1</x:v>
      </x:c>
      <x:c r="E6" t="n">
        <x:v>1.2</x:v>
      </x:c>
      <x:c r="F6" t="n">
        <x:v>8</x:v>
      </x:c>
      <x:c r="G6" t="n">
        <x:v>1.65</x:v>
      </x:c>
      <x:c r="H6" t="n">
        <x:f>ROUNDUP(G6*E6*SQRT(F6),0)</x:f>
        <x:v>6</x:v>
      </x:c>
      <x:c r="I6" t="n">
        <x:f>ROUNDUP((D6*F6)+H6,0)</x:f>
        <x:v>39</x:v>
      </x:c>
      <x:c r="J6" t="n">
        <x:f>MAX(0,ROUNDUP((D6*(F6+21))+H6-C6,0))</x:f>
        <x:v>64</x:v>
      </x:c>
      <x:c r="K6" t="str">
        <x:f>IF(C6&lt;=I6,"Order",IF(C6/D6&gt;60,"Excess","OK"))</x:f>
        <x:v>OK</x:v>
      </x:c>
    </x:row>
    <x:row r="7">
      <x:c r="A7" t="str">
        <x:v>HX-69012</x:v>
      </x:c>
      <x:c r="B7" t="str">
        <x:v>Harbor</x:v>
      </x:c>
      <x:c r="C7" t="n">
        <x:v>210</x:v>
      </x:c>
      <x:c r="D7" t="n">
        <x:v>3.8</x:v>
      </x:c>
      <x:c r="E7" t="n">
        <x:v>1.4</x:v>
      </x:c>
      <x:c r="F7" t="n">
        <x:v>10</x:v>
      </x:c>
      <x:c r="G7" t="n">
        <x:v>1.65</x:v>
      </x:c>
      <x:c r="H7" t="n">
        <x:f>ROUNDUP(G7*E7*SQRT(F7),0)</x:f>
        <x:v>8</x:v>
      </x:c>
      <x:c r="I7" t="n">
        <x:f>ROUNDUP((D7*F7)+H7,0)</x:f>
        <x:v>46</x:v>
      </x:c>
      <x:c r="J7" t="n">
        <x:f>MAX(0,ROUNDUP((D7*(F7+21))+H7-C7,0))</x:f>
        <x:v>0</x:v>
      </x:c>
      <x:c r="K7" t="str">
        <x:f>IF(C7&lt;=I7,"Order",IF(C7/D7&gt;60,"Excess","OK"))</x:f>
        <x:v>OK</x:v>
      </x:c>
    </x:row>
    <x:row r="8">
      <x:c r="A8" t="str">
        <x:v>AX-77501</x:v>
      </x:c>
      <x:c r="B8" t="str">
        <x:v>Atlas</x:v>
      </x:c>
      <x:c r="C8" t="n">
        <x:v>0</x:v>
      </x:c>
      <x:c r="D8" t="n">
        <x:v>2.7</x:v>
      </x:c>
      <x:c r="E8" t="n">
        <x:v>1.1</x:v>
      </x:c>
      <x:c r="F8" t="n">
        <x:v>9</x:v>
      </x:c>
      <x:c r="G8" t="n">
        <x:v>1.65</x:v>
      </x:c>
      <x:c r="H8" t="n">
        <x:f>ROUNDUP(G8*E8*SQRT(F8),0)</x:f>
        <x:v>6</x:v>
      </x:c>
      <x:c r="I8" t="n">
        <x:f>ROUNDUP((D8*F8)+H8,0)</x:f>
        <x:v>31</x:v>
      </x:c>
      <x:c r="J8" t="n">
        <x:f>MAX(0,ROUNDUP((D8*(F8+21))+H8-C8,0))</x:f>
        <x:v>87</x:v>
      </x:c>
      <x:c r="K8" t="str">
        <x:f>IF(C8&lt;=I8,"Order",IF(C8/D8&gt;60,"Excess","OK"))</x:f>
        <x:v>Order</x:v>
      </x:c>
    </x:row>
    <x:row r="9">
      <x:c r="A9" t="str">
        <x:v>BX-33102</x:v>
      </x:c>
      <x:c r="B9" t="str">
        <x:v>Beacon</x:v>
      </x:c>
      <x:c r="C9" t="n">
        <x:v>25</x:v>
      </x:c>
      <x:c r="D9" t="n">
        <x:v>1.2</x:v>
      </x:c>
      <x:c r="E9" t="n">
        <x:v>0.5</x:v>
      </x:c>
      <x:c r="F9" t="n">
        <x:v>12</x:v>
      </x:c>
      <x:c r="G9" t="n">
        <x:v>1.65</x:v>
      </x:c>
      <x:c r="H9" t="n">
        <x:f>ROUNDUP(G9*E9*SQRT(F9),0)</x:f>
        <x:v>3</x:v>
      </x:c>
      <x:c r="I9" t="n">
        <x:f>ROUNDUP((D9*F9)+H9,0)</x:f>
        <x:v>18</x:v>
      </x:c>
      <x:c r="J9" t="n">
        <x:f>MAX(0,ROUNDUP((D9*(F9+21))+H9-C9,0))</x:f>
        <x:v>18</x:v>
      </x:c>
      <x:c r="K9" t="str">
        <x:f>IF(C9&lt;=I9,"Order",IF(C9/D9&gt;60,"Excess","OK"))</x:f>
        <x:v>OK</x:v>
      </x:c>
    </x:row>
    <x:row r="10">
      <x:c r="A10" t="str">
        <x:v>SX-10228</x:v>
      </x:c>
      <x:c r="B10" t="str">
        <x:v>Summit</x:v>
      </x:c>
      <x:c r="C10" t="n">
        <x:v>7</x:v>
      </x:c>
      <x:c r="D10" t="n">
        <x:v>2.9</x:v>
      </x:c>
      <x:c r="E10" t="n">
        <x:v>1.2</x:v>
      </x:c>
      <x:c r="F10" t="n">
        <x:v>8</x:v>
      </x:c>
      <x:c r="G10" t="n">
        <x:v>1.65</x:v>
      </x:c>
      <x:c r="H10" t="n">
        <x:f>ROUNDUP(G10*E10*SQRT(F10),0)</x:f>
        <x:v>6</x:v>
      </x:c>
      <x:c r="I10" t="n">
        <x:f>ROUNDUP((D10*F10)+H10,0)</x:f>
        <x:v>30</x:v>
      </x:c>
      <x:c r="J10" t="n">
        <x:f>MAX(0,ROUNDUP((D10*(F10+21))+H10-C10,0))</x:f>
        <x:v>84</x:v>
      </x:c>
      <x:c r="K10" t="str">
        <x:f>IF(C10&lt;=I10,"Order",IF(C10/D10&gt;60,"Excess","OK"))</x:f>
        <x:v>Order</x:v>
      </x:c>
    </x:row>
    <x:row r="11">
      <x:c r="A11" t="str">
        <x:v>HX-22210</x:v>
      </x:c>
      <x:c r="B11" t="str">
        <x:v>Harbor</x:v>
      </x:c>
      <x:c r="C11" t="n">
        <x:v>48</x:v>
      </x:c>
      <x:c r="D11" t="n">
        <x:v>3</x:v>
      </x:c>
      <x:c r="E11" t="n">
        <x:v>1.8</x:v>
      </x:c>
      <x:c r="F11" t="n">
        <x:v>10</x:v>
      </x:c>
      <x:c r="G11" t="n">
        <x:v>1.65</x:v>
      </x:c>
      <x:c r="H11" t="n">
        <x:f>ROUNDUP(G11*E11*SQRT(F11),0)</x:f>
        <x:v>10</x:v>
      </x:c>
      <x:c r="I11" t="n">
        <x:f>ROUNDUP((D11*F11)+H11,0)</x:f>
        <x:v>40</x:v>
      </x:c>
      <x:c r="J11" t="n">
        <x:f>MAX(0,ROUNDUP((D11*(F11+21))+H11-C11,0))</x:f>
        <x:v>55</x:v>
      </x:c>
      <x:c r="K11" t="str">
        <x:f>IF(C11&lt;=I11,"Order",IF(C11/D11&gt;60,"Excess","OK"))</x:f>
        <x:v>OK</x:v>
      </x:c>
    </x:row>
    <x:row r="12">
      <x:c r="A12" t="str">
        <x:v>AX-88220</x:v>
      </x:c>
      <x:c r="B12" t="str">
        <x:v>Atlas</x:v>
      </x:c>
      <x:c r="C12" t="n">
        <x:v>33</x:v>
      </x:c>
      <x:c r="D12" t="n">
        <x:v>2.3</x:v>
      </x:c>
      <x:c r="E12" t="n">
        <x:v>0.8</x:v>
      </x:c>
      <x:c r="F12" t="n">
        <x:v>9</x:v>
      </x:c>
      <x:c r="G12" t="n">
        <x:v>1.65</x:v>
      </x:c>
      <x:c r="H12" t="n">
        <x:f>ROUNDUP(G12*E12*SQRT(F12),0)</x:f>
        <x:v>4</x:v>
      </x:c>
      <x:c r="I12" t="n">
        <x:f>ROUNDUP((D12*F12)+H12,0)</x:f>
        <x:v>25</x:v>
      </x:c>
      <x:c r="J12" t="n">
        <x:f>MAX(0,ROUNDUP((D12*(F12+21))+H12-C12,0))</x:f>
        <x:v>40</x:v>
      </x:c>
      <x:c r="K12" t="str">
        <x:f>IF(C12&lt;=I12,"Order",IF(C12/D12&gt;60,"Excess","OK"))</x:f>
        <x:v>OK</x:v>
      </x:c>
    </x:row>
    <x:row r="13">
      <x:c r="A13" t="str">
        <x:v>BX-99120</x:v>
      </x:c>
      <x:c r="B13" t="str">
        <x:v>Beacon</x:v>
      </x:c>
      <x:c r="C13" t="n">
        <x:v>19</x:v>
      </x:c>
      <x:c r="D13" t="n">
        <x:v>4.9</x:v>
      </x:c>
      <x:c r="E13" t="n">
        <x:v>2</x:v>
      </x:c>
      <x:c r="F13" t="n">
        <x:v>12</x:v>
      </x:c>
      <x:c r="G13" t="n">
        <x:v>1.65</x:v>
      </x:c>
      <x:c r="H13" t="n">
        <x:f>ROUNDUP(G13*E13*SQRT(F13),0)</x:f>
        <x:v>12</x:v>
      </x:c>
      <x:c r="I13" t="n">
        <x:f>ROUNDUP((D13*F13)+H13,0)</x:f>
        <x:v>71</x:v>
      </x:c>
      <x:c r="J13" t="n">
        <x:f>MAX(0,ROUNDUP((D13*(F13+21))+H13-C13,0))</x:f>
        <x:v>155</x:v>
      </x:c>
      <x:c r="K13" t="str">
        <x:f>IF(C13&lt;=I13,"Order",IF(C13/D13&gt;60,"Excess","OK"))</x:f>
        <x:v>Order</x:v>
      </x:c>
    </x:row>
    <x:row r="14">
      <x:c r="A14" t="str">
        <x:v>SX-11880</x:v>
      </x:c>
      <x:c r="B14" t="str">
        <x:v>Summit</x:v>
      </x:c>
      <x:c r="C14" t="n">
        <x:v>87</x:v>
      </x:c>
      <x:c r="D14" t="n">
        <x:v>2.2</x:v>
      </x:c>
      <x:c r="E14" t="n">
        <x:v>1</x:v>
      </x:c>
      <x:c r="F14" t="n">
        <x:v>8</x:v>
      </x:c>
      <x:c r="G14" t="n">
        <x:v>1.65</x:v>
      </x:c>
      <x:c r="H14" t="n">
        <x:f>ROUNDUP(G14*E14*SQRT(F14),0)</x:f>
        <x:v>5</x:v>
      </x:c>
      <x:c r="I14" t="n">
        <x:f>ROUNDUP((D14*F14)+H14,0)</x:f>
        <x:v>23</x:v>
      </x:c>
      <x:c r="J14" t="n">
        <x:f>MAX(0,ROUNDUP((D14*(F14+21))+H14-C14,0))</x:f>
        <x:v>0</x:v>
      </x:c>
      <x:c r="K14" t="str">
        <x:f>IF(C14&lt;=I14,"Order",IF(C14/D14&gt;60,"Excess","OK"))</x:f>
        <x:v>OK</x:v>
      </x:c>
    </x:row>
    <x:row r="15">
      <x:c r="A15" t="str">
        <x:v>HX-00820</x:v>
      </x:c>
      <x:c r="B15" t="str">
        <x:v>Harbor</x:v>
      </x:c>
      <x:c r="C15" t="n">
        <x:v>11</x:v>
      </x:c>
      <x:c r="D15" t="n">
        <x:v>1.9</x:v>
      </x:c>
      <x:c r="E15" t="n">
        <x:v>0.7</x:v>
      </x:c>
      <x:c r="F15" t="n">
        <x:v>10</x:v>
      </x:c>
      <x:c r="G15" t="n">
        <x:v>1.65</x:v>
      </x:c>
      <x:c r="H15" t="n">
        <x:f>ROUNDUP(G15*E15*SQRT(F15),0)</x:f>
        <x:v>4</x:v>
      </x:c>
      <x:c r="I15" t="n">
        <x:f>ROUNDUP((D15*F15)+H15,0)</x:f>
        <x:v>23</x:v>
      </x:c>
      <x:c r="J15" t="n">
        <x:f>MAX(0,ROUNDUP((D15*(F15+21))+H15-C15,0))</x:f>
        <x:v>52</x:v>
      </x:c>
      <x:c r="K15" t="str">
        <x:f>IF(C15&lt;=I15,"Order",IF(C15/D15&gt;60,"Excess","OK"))</x:f>
        <x:v>Order</x:v>
      </x:c>
    </x:row>
    <x:row r="16">
      <x:c r="A16" t="str">
        <x:v>AX-33411</x:v>
      </x:c>
      <x:c r="B16" t="str">
        <x:v>Atlas</x:v>
      </x:c>
      <x:c r="C16" t="n">
        <x:v>72</x:v>
      </x:c>
      <x:c r="D16" t="n">
        <x:v>3.5</x:v>
      </x:c>
      <x:c r="E16" t="n">
        <x:v>1.5</x:v>
      </x:c>
      <x:c r="F16" t="n">
        <x:v>9</x:v>
      </x:c>
      <x:c r="G16" t="n">
        <x:v>1.65</x:v>
      </x:c>
      <x:c r="H16" t="n">
        <x:f>ROUNDUP(G16*E16*SQRT(F16),0)</x:f>
        <x:v>8</x:v>
      </x:c>
      <x:c r="I16" t="n">
        <x:f>ROUNDUP((D16*F16)+H16,0)</x:f>
        <x:v>40</x:v>
      </x:c>
      <x:c r="J16" t="n">
        <x:f>MAX(0,ROUNDUP((D16*(F16+21))+H16-C16,0))</x:f>
        <x:v>41</x:v>
      </x:c>
      <x:c r="K16" t="str">
        <x:f>IF(C16&lt;=I16,"Order",IF(C16/D16&gt;60,"Excess","OK"))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3e3b4b87ed9140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9.960000038146973" hidden="0" customWidth="1"/>
    <x:col min="3" max="3" width="11.170000076293945" hidden="0" customWidth="1"/>
    <x:col min="4" max="4" width="10.359999656677246" hidden="0" customWidth="1"/>
    <x:col min="5" max="5" width="4.039999961853027" hidden="0" customWidth="1"/>
    <x:col min="6" max="6" width="7.539999961853027" hidden="0" customWidth="1"/>
    <x:col min="7" max="7" width="10.359999656677246" hidden="0" customWidth="1"/>
    <x:col min="8" max="8" width="3.2300000190734863" hidden="0" customWidth="1"/>
  </x:cols>
  <x:sheetData>
    <x:row r="1">
      <x:c r="A1" s="6" t="str">
        <x:v>Month</x:v>
      </x:c>
      <x:c r="B1" s="6" t="str">
        <x:v>Actual Units</x:v>
      </x:c>
      <x:c r="C1" s="6" t="str">
        <x:v>Prior Forecast</x:v>
      </x:c>
      <x:c r="D1" s="6" t="str">
        <x:v>3 Mo Avg</x:v>
      </x:c>
      <x:c r="E1" s="6" t="str">
        <x:v>Error</x:v>
      </x:c>
      <x:c r="F1" s="6" t="str">
        <x:v>Abs Error</x:v>
      </x:c>
      <x:c r="G1" s="6" t="str">
        <x:v>Abs % Error</x:v>
      </x:c>
      <x:c r="H1" s="6" t="str">
        <x:v>Bias</x:v>
      </x:c>
      <x:c r="I1" s="6"/>
      <x:c r="J1" s="6"/>
      <x:c r="K1" s="6"/>
    </x:row>
    <x:row r="2">
      <x:c r="A2" t="str">
        <x:v>Jan</x:v>
      </x:c>
      <x:c r="B2" t="n">
        <x:v>920</x:v>
      </x:c>
      <x:c r="C2" t="n">
        <x:v>900</x:v>
      </x:c>
      <x:c r="D2" t="str">
        <x:f>IF(ROW()&lt;4,"",AVERAGE(B2:B1))</x:f>
      </x:c>
      <x:c r="E2" t="n">
        <x:f>B2-C2</x:f>
        <x:v>20</x:v>
      </x:c>
      <x:c r="F2" t="n">
        <x:f>ABS(E2)</x:f>
        <x:v>20</x:v>
      </x:c>
      <x:c r="G2" s="8" t="n">
        <x:f>F2/B2</x:f>
        <x:v>0.021739130434782608</x:v>
      </x:c>
      <x:c r="H2" t="n">
        <x:f>E2</x:f>
        <x:v>20</x:v>
      </x:c>
    </x:row>
    <x:row r="3">
      <x:c r="A3" t="str">
        <x:v>Feb</x:v>
      </x:c>
      <x:c r="B3" t="n">
        <x:v>965</x:v>
      </x:c>
      <x:c r="C3" t="n">
        <x:v>940</x:v>
      </x:c>
      <x:c r="D3" t="str">
        <x:f>IF(ROW()&lt;4,"",AVERAGE(B2:B2))</x:f>
      </x:c>
      <x:c r="E3" t="n">
        <x:f>B3-C3</x:f>
        <x:v>25</x:v>
      </x:c>
      <x:c r="F3" t="n">
        <x:f>ABS(E3)</x:f>
        <x:v>25</x:v>
      </x:c>
      <x:c r="G3" s="8" t="n">
        <x:f>F3/B3</x:f>
        <x:v>0.025906735751295335</x:v>
      </x:c>
      <x:c r="H3" t="n">
        <x:f>E3</x:f>
        <x:v>25</x:v>
      </x:c>
    </x:row>
    <x:row r="4">
      <x:c r="A4" t="str">
        <x:v>Mar</x:v>
      </x:c>
      <x:c r="B4" t="n">
        <x:v>1010</x:v>
      </x:c>
      <x:c r="C4" t="n">
        <x:v>990</x:v>
      </x:c>
      <x:c r="D4" t="n">
        <x:f>IF(ROW()&lt;4,"",AVERAGE(B2:B3))</x:f>
        <x:v>942.5</x:v>
      </x:c>
      <x:c r="E4" t="n">
        <x:f>B4-C4</x:f>
        <x:v>20</x:v>
      </x:c>
      <x:c r="F4" t="n">
        <x:f>ABS(E4)</x:f>
        <x:v>20</x:v>
      </x:c>
      <x:c r="G4" s="8" t="n">
        <x:f>F4/B4</x:f>
        <x:v>0.019801980198019802</x:v>
      </x:c>
      <x:c r="H4" t="n">
        <x:f>E4</x:f>
        <x:v>20</x:v>
      </x:c>
    </x:row>
    <x:row r="5">
      <x:c r="A5" t="str">
        <x:v>Apr</x:v>
      </x:c>
      <x:c r="B5" t="n">
        <x:v>980</x:v>
      </x:c>
      <x:c r="C5" t="n">
        <x:v>1005</x:v>
      </x:c>
      <x:c r="D5" t="n">
        <x:f>IF(ROW()&lt;4,"",AVERAGE(B2:B4))</x:f>
        <x:v>965</x:v>
      </x:c>
      <x:c r="E5" t="n">
        <x:f>B5-C5</x:f>
        <x:v>-25</x:v>
      </x:c>
      <x:c r="F5" t="n">
        <x:f>ABS(E5)</x:f>
        <x:v>25</x:v>
      </x:c>
      <x:c r="G5" s="8" t="n">
        <x:f>F5/B5</x:f>
        <x:v>0.025510204081632654</x:v>
      </x:c>
      <x:c r="H5" t="n">
        <x:f>E5</x:f>
        <x:v>-25</x:v>
      </x:c>
    </x:row>
    <x:row r="6">
      <x:c r="A6" t="str">
        <x:v>May</x:v>
      </x:c>
      <x:c r="B6" t="n">
        <x:v>1085</x:v>
      </x:c>
      <x:c r="C6" t="n">
        <x:v>1040</x:v>
      </x:c>
      <x:c r="D6" t="n">
        <x:f>IF(ROW()&lt;4,"",AVERAGE(B3:B5))</x:f>
        <x:v>985</x:v>
      </x:c>
      <x:c r="E6" t="n">
        <x:f>B6-C6</x:f>
        <x:v>45</x:v>
      </x:c>
      <x:c r="F6" t="n">
        <x:f>ABS(E6)</x:f>
        <x:v>45</x:v>
      </x:c>
      <x:c r="G6" s="8" t="n">
        <x:f>F6/B6</x:f>
        <x:v>0.041474654377880185</x:v>
      </x:c>
      <x:c r="H6" t="n">
        <x:f>E6</x:f>
        <x:v>45</x:v>
      </x:c>
    </x:row>
    <x:row r="7">
      <x:c r="A7" t="str">
        <x:v>Jun</x:v>
      </x:c>
      <x:c r="B7" t="n">
        <x:v>1120</x:v>
      </x:c>
      <x:c r="C7" t="n">
        <x:v>1100</x:v>
      </x:c>
      <x:c r="D7" t="n">
        <x:f>IF(ROW()&lt;4,"",AVERAGE(B4:B6))</x:f>
        <x:v>1025</x:v>
      </x:c>
      <x:c r="E7" t="n">
        <x:f>B7-C7</x:f>
        <x:v>20</x:v>
      </x:c>
      <x:c r="F7" t="n">
        <x:f>ABS(E7)</x:f>
        <x:v>20</x:v>
      </x:c>
      <x:c r="G7" s="8" t="n">
        <x:f>F7/B7</x:f>
        <x:v>0.017857142857142856</x:v>
      </x:c>
      <x:c r="H7" t="n">
        <x:f>E7</x:f>
        <x:v>20</x:v>
      </x:c>
    </x:row>
    <x:row r="8">
      <x:c r="A8" t="str">
        <x:v>Jul</x:v>
      </x:c>
      <x:c r="B8" t="n">
        <x:v>1190</x:v>
      </x:c>
      <x:c r="C8" t="n">
        <x:v>1155</x:v>
      </x:c>
      <x:c r="D8" t="n">
        <x:f>IF(ROW()&lt;4,"",AVERAGE(B5:B7))</x:f>
        <x:v>1061.6666666666667</x:v>
      </x:c>
      <x:c r="E8" t="n">
        <x:f>B8-C8</x:f>
        <x:v>35</x:v>
      </x:c>
      <x:c r="F8" t="n">
        <x:f>ABS(E8)</x:f>
        <x:v>35</x:v>
      </x:c>
      <x:c r="G8" s="8" t="n">
        <x:f>F8/B8</x:f>
        <x:v>0.029411764705882353</x:v>
      </x:c>
      <x:c r="H8" t="n">
        <x:f>E8</x:f>
        <x:v>35</x:v>
      </x:c>
    </x:row>
    <x:row r="9">
      <x:c r="A9" t="str">
        <x:v>Aug</x:v>
      </x:c>
      <x:c r="B9" t="n">
        <x:v>1160</x:v>
      </x:c>
      <x:c r="C9" t="n">
        <x:v>1185</x:v>
      </x:c>
      <x:c r="D9" t="n">
        <x:f>IF(ROW()&lt;4,"",AVERAGE(B6:B8))</x:f>
        <x:v>1131.6666666666667</x:v>
      </x:c>
      <x:c r="E9" t="n">
        <x:f>B9-C9</x:f>
        <x:v>-25</x:v>
      </x:c>
      <x:c r="F9" t="n">
        <x:f>ABS(E9)</x:f>
        <x:v>25</x:v>
      </x:c>
      <x:c r="G9" s="8" t="n">
        <x:f>F9/B9</x:f>
        <x:v>0.021551724137931036</x:v>
      </x:c>
      <x:c r="H9" t="n">
        <x:f>E9</x:f>
        <x:v>-25</x:v>
      </x:c>
    </x:row>
    <x:row r="10">
      <x:c r="A10" t="str">
        <x:v>Sep</x:v>
      </x:c>
      <x:c r="B10" t="n">
        <x:v>1245</x:v>
      </x:c>
      <x:c r="C10" t="n">
        <x:v>1210</x:v>
      </x:c>
      <x:c r="D10" t="n">
        <x:f>IF(ROW()&lt;4,"",AVERAGE(B7:B9))</x:f>
        <x:v>1156.6666666666667</x:v>
      </x:c>
      <x:c r="E10" t="n">
        <x:f>B10-C10</x:f>
        <x:v>35</x:v>
      </x:c>
      <x:c r="F10" t="n">
        <x:f>ABS(E10)</x:f>
        <x:v>35</x:v>
      </x:c>
      <x:c r="G10" s="8" t="n">
        <x:f>F10/B10</x:f>
        <x:v>0.028112449799196786</x:v>
      </x:c>
      <x:c r="H10" t="n">
        <x:f>E10</x:f>
        <x:v>35</x:v>
      </x:c>
    </x:row>
    <x:row r="11">
      <x:c r="A11" t="str">
        <x:v>Oct</x:v>
      </x:c>
      <x:c r="B11" t="n">
        <x:v>1280</x:v>
      </x:c>
      <x:c r="C11" t="n">
        <x:v>1265</x:v>
      </x:c>
      <x:c r="D11" t="n">
        <x:f>IF(ROW()&lt;4,"",AVERAGE(B8:B10))</x:f>
        <x:v>1198.3333333333333</x:v>
      </x:c>
      <x:c r="E11" t="n">
        <x:f>B11-C11</x:f>
        <x:v>15</x:v>
      </x:c>
      <x:c r="F11" t="n">
        <x:f>ABS(E11)</x:f>
        <x:v>15</x:v>
      </x:c>
      <x:c r="G11" s="8" t="n">
        <x:f>F11/B11</x:f>
        <x:v>0.01171875</x:v>
      </x:c>
      <x:c r="H11" t="n">
        <x:f>E11</x:f>
        <x:v>15</x:v>
      </x:c>
    </x:row>
    <x:row r="12">
      <x:c r="A12" t="str">
        <x:v>Nov</x:v>
      </x:c>
      <x:c r="B12" t="n">
        <x:v>1315</x:v>
      </x:c>
      <x:c r="C12" t="n">
        <x:v>1300</x:v>
      </x:c>
      <x:c r="D12" t="n">
        <x:f>IF(ROW()&lt;4,"",AVERAGE(B9:B11))</x:f>
        <x:v>1228.3333333333333</x:v>
      </x:c>
      <x:c r="E12" t="n">
        <x:f>B12-C12</x:f>
        <x:v>15</x:v>
      </x:c>
      <x:c r="F12" t="n">
        <x:f>ABS(E12)</x:f>
        <x:v>15</x:v>
      </x:c>
      <x:c r="G12" s="8" t="n">
        <x:f>F12/B12</x:f>
        <x:v>0.011406844106463879</x:v>
      </x:c>
      <x:c r="H12" t="n">
        <x:f>E12</x:f>
        <x:v>15</x:v>
      </x:c>
    </x:row>
    <x:row r="13">
      <x:c r="A13" t="str">
        <x:v>Dec</x:v>
      </x:c>
      <x:c r="B13" t="n">
        <x:v>1370</x:v>
      </x:c>
      <x:c r="C13" t="n">
        <x:v>1340</x:v>
      </x:c>
      <x:c r="D13" t="n">
        <x:f>IF(ROW()&lt;4,"",AVERAGE(B10:B12))</x:f>
        <x:v>1280</x:v>
      </x:c>
      <x:c r="E13" t="n">
        <x:f>B13-C13</x:f>
        <x:v>30</x:v>
      </x:c>
      <x:c r="F13" t="n">
        <x:f>ABS(E13)</x:f>
        <x:v>30</x:v>
      </x:c>
      <x:c r="G13" s="8" t="n">
        <x:f>F13/B13</x:f>
        <x:v>0.021897810218978103</x:v>
      </x:c>
      <x:c r="H13" t="n">
        <x:f>E13</x:f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8eae4fb574844216"/>
  </x:tableParts>
</x:worksheet>
</file>